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가격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주요 운용자산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목표 총자산 − 기타 자산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총자산을 목표값에 맞추는 조정 계정</t>
        </r>
        <r>
          <rPr>
            <sz val="10"/>
            <rFont val="Arial"/>
            <family val="2"/>
          </rPr>
          <t xml:space="preserve">)</t>
        </r>
      </text>
    </comment>
    <comment ref="C4" authorId="0">
      <text>
        <r>
          <rPr>
            <sz val="10"/>
            <rFont val="WenQuanYi Zen Hei"/>
            <family val="2"/>
          </rPr>
          <t xml:space="preserve">사용자 요청값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총자산 </t>
        </r>
        <r>
          <rPr>
            <sz val="10"/>
            <rFont val="Arial"/>
            <family val="2"/>
          </rPr>
          <t xml:space="preserve">100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이 값을 바꾸면 주요 운용자산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이월잉여금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기준가가 자동 재계산됩니다</t>
        </r>
        <r>
          <rPr>
            <sz val="10"/>
            <rFont val="Arial"/>
            <family val="2"/>
          </rPr>
          <t xml:space="preserve">.</t>
        </r>
      </text>
    </comment>
    <comment ref="I30" authorId="0">
      <text>
        <r>
          <rPr>
            <sz val="10"/>
            <rFont val="WenQuanYi Zen Hei"/>
            <family val="2"/>
          </rPr>
          <t xml:space="preserve">대차 균형 계정</t>
        </r>
        <r>
          <rPr>
            <sz val="10"/>
            <rFont val="Arial"/>
            <family val="2"/>
          </rPr>
          <t xml:space="preserve">: (</t>
        </r>
        <r>
          <rPr>
            <sz val="10"/>
            <rFont val="WenQuanYi Zen Hei"/>
            <family val="2"/>
          </rPr>
          <t xml:space="preserve">자산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손실</t>
        </r>
        <r>
          <rPr>
            <sz val="10"/>
            <rFont val="Arial"/>
            <family val="2"/>
          </rPr>
          <t xml:space="preserve">) − (</t>
        </r>
        <r>
          <rPr>
            <sz val="10"/>
            <rFont val="WenQuanYi Zen Hei"/>
            <family val="2"/>
          </rPr>
          <t xml:space="preserve">부채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원본액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이익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<sst xmlns="http://schemas.openxmlformats.org/spreadsheetml/2006/main" count="117" uniqueCount="117">
  <si>
    <t xml:space="preserve">기준가격대장</t>
  </si>
  <si>
    <t xml:space="preserve">펀 드 명</t>
  </si>
  <si>
    <r>
      <rPr>
        <sz val="10"/>
        <rFont val="WenQuanYi Zen Hei"/>
        <family val="2"/>
      </rPr>
      <t xml:space="preserve">하나대체투자</t>
    </r>
    <r>
      <rPr>
        <sz val="10"/>
        <rFont val="맑은 고딕"/>
        <family val="0"/>
        <charset val="1"/>
      </rPr>
      <t xml:space="preserve">COREOFFICE</t>
    </r>
    <r>
      <rPr>
        <sz val="10"/>
        <rFont val="WenQuanYi Zen Hei"/>
        <family val="2"/>
      </rPr>
      <t xml:space="preserve">전문투자형사모부동산투자신탁</t>
    </r>
    <r>
      <rPr>
        <sz val="10"/>
        <rFont val="맑은 고딕"/>
        <family val="0"/>
        <charset val="1"/>
      </rPr>
      <t xml:space="preserve">1-1</t>
    </r>
    <r>
      <rPr>
        <sz val="10"/>
        <rFont val="WenQuanYi Zen Hei"/>
        <family val="2"/>
      </rPr>
      <t xml:space="preserve">호</t>
    </r>
  </si>
  <si>
    <t xml:space="preserve">기준일자</t>
  </si>
  <si>
    <t xml:space="preserve">2026-09-30</t>
  </si>
  <si>
    <t xml:space="preserve">장부 총자산</t>
  </si>
  <si>
    <t xml:space="preserve">차이</t>
  </si>
  <si>
    <r>
      <rPr>
        <b val="true"/>
        <sz val="10"/>
        <rFont val="WenQuanYi Zen Hei"/>
        <family val="2"/>
      </rPr>
      <t xml:space="preserve">목표 총자산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</si>
  <si>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← 노란 칸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파란 글씨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만 입력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테스트용 가상 데이터</t>
    </r>
  </si>
  <si>
    <t xml:space="preserve">계정구분</t>
  </si>
  <si>
    <t xml:space="preserve">당일차변잔액</t>
  </si>
  <si>
    <t xml:space="preserve">차변금액</t>
  </si>
  <si>
    <t xml:space="preserve">전일차변잔액</t>
  </si>
  <si>
    <t xml:space="preserve">계정코드</t>
  </si>
  <si>
    <t xml:space="preserve">계정과목명</t>
  </si>
  <si>
    <t xml:space="preserve">전일대변잔액</t>
  </si>
  <si>
    <t xml:space="preserve">대변금액</t>
  </si>
  <si>
    <t xml:space="preserve">당일대변잔액</t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</si>
  <si>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A</t>
    </r>
  </si>
  <si>
    <t xml:space="preserve">1000000000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</si>
  <si>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자산 </t>
    </r>
    <r>
      <rPr>
        <b val="true"/>
        <sz val="10"/>
        <rFont val="맑은 고딕"/>
        <family val="0"/>
        <charset val="1"/>
      </rPr>
      <t xml:space="preserve">]]</t>
    </r>
  </si>
  <si>
    <t xml:space="preserve">1010000000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</si>
  <si>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유동자산 </t>
    </r>
    <r>
      <rPr>
        <b val="true"/>
        <sz val="10"/>
        <rFont val="맑은 고딕"/>
        <family val="0"/>
        <charset val="1"/>
      </rPr>
      <t xml:space="preserve">]</t>
    </r>
  </si>
  <si>
    <t xml:space="preserve">1010100000</t>
  </si>
  <si>
    <r>
      <rPr>
        <sz val="10"/>
        <rFont val="WenQuanYi Zen Hei"/>
        <family val="2"/>
      </rPr>
      <t xml:space="preserve">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은대</t>
    </r>
    <r>
      <rPr>
        <sz val="10"/>
        <rFont val="맑은 고딕"/>
        <family val="0"/>
        <charset val="1"/>
      </rPr>
      <t xml:space="preserve">)</t>
    </r>
  </si>
  <si>
    <t xml:space="preserve">1010700000</t>
  </si>
  <si>
    <t xml:space="preserve">외화예치금</t>
  </si>
  <si>
    <t xml:space="preserve">1040000000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</si>
  <si>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지분증권 </t>
    </r>
    <r>
      <rPr>
        <b val="true"/>
        <sz val="10"/>
        <rFont val="맑은 고딕"/>
        <family val="0"/>
        <charset val="1"/>
      </rPr>
      <t xml:space="preserve">]</t>
    </r>
  </si>
  <si>
    <t xml:space="preserve">1040300000</t>
  </si>
  <si>
    <t xml:space="preserve">해외지분증권</t>
  </si>
  <si>
    <t xml:space="preserve">1070000000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</si>
  <si>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미수이자 </t>
    </r>
    <r>
      <rPr>
        <b val="true"/>
        <sz val="10"/>
        <rFont val="맑은 고딕"/>
        <family val="0"/>
        <charset val="1"/>
      </rPr>
      <t xml:space="preserve">]</t>
    </r>
  </si>
  <si>
    <t xml:space="preserve">1070100000</t>
  </si>
  <si>
    <t xml:space="preserve">단기상품미수이자</t>
  </si>
  <si>
    <t xml:space="preserve">1090100000</t>
  </si>
  <si>
    <t xml:space="preserve">미수배당금</t>
  </si>
  <si>
    <t xml:space="preserve">2000000000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</si>
  <si>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부채 </t>
    </r>
    <r>
      <rPr>
        <b val="true"/>
        <sz val="10"/>
        <rFont val="맑은 고딕"/>
        <family val="0"/>
        <charset val="1"/>
      </rPr>
      <t xml:space="preserve">]]</t>
    </r>
  </si>
  <si>
    <t xml:space="preserve">2060000000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</si>
  <si>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</si>
  <si>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2060100000</t>
  </si>
  <si>
    <t xml:space="preserve">미지급수탁보수</t>
  </si>
  <si>
    <t xml:space="preserve">2070000000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</si>
  <si>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</si>
  <si>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2070100000</t>
  </si>
  <si>
    <t xml:space="preserve">미지급사무관리보수</t>
  </si>
  <si>
    <t xml:space="preserve">2070200000</t>
  </si>
  <si>
    <t xml:space="preserve">미지급운용보수</t>
  </si>
  <si>
    <t xml:space="preserve">2070500000</t>
  </si>
  <si>
    <t xml:space="preserve">미지급판매보수</t>
  </si>
  <si>
    <t xml:space="preserve">2100000000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</si>
  <si>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기타미지급비용 </t>
    </r>
    <r>
      <rPr>
        <b val="true"/>
        <sz val="10"/>
        <rFont val="맑은 고딕"/>
        <family val="0"/>
        <charset val="1"/>
      </rPr>
      <t xml:space="preserve">]</t>
    </r>
  </si>
  <si>
    <t xml:space="preserve">2100800000</t>
  </si>
  <si>
    <t xml:space="preserve">미지급펀드결제수수료</t>
  </si>
  <si>
    <t xml:space="preserve">4000000000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</si>
  <si>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원본 </t>
    </r>
    <r>
      <rPr>
        <b val="true"/>
        <sz val="10"/>
        <rFont val="맑은 고딕"/>
        <family val="0"/>
        <charset val="1"/>
      </rPr>
      <t xml:space="preserve">]]</t>
    </r>
  </si>
  <si>
    <t xml:space="preserve">4010000000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</si>
  <si>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원본액 </t>
    </r>
    <r>
      <rPr>
        <b val="true"/>
        <sz val="10"/>
        <rFont val="맑은 고딕"/>
        <family val="0"/>
        <charset val="1"/>
      </rPr>
      <t xml:space="preserve">]</t>
    </r>
  </si>
  <si>
    <t xml:space="preserve">4010100000</t>
  </si>
  <si>
    <t xml:space="preserve">원본액</t>
  </si>
  <si>
    <t xml:space="preserve">4020000000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</si>
  <si>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이월이익잉여금 </t>
    </r>
    <r>
      <rPr>
        <b val="true"/>
        <sz val="10"/>
        <rFont val="맑은 고딕"/>
        <family val="0"/>
        <charset val="1"/>
      </rPr>
      <t xml:space="preserve">]</t>
    </r>
  </si>
  <si>
    <t xml:space="preserve">4020100000</t>
  </si>
  <si>
    <t xml:space="preserve">이월잉여금</t>
  </si>
  <si>
    <t xml:space="preserve">5000000000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</si>
  <si>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손실 </t>
    </r>
    <r>
      <rPr>
        <b val="true"/>
        <sz val="10"/>
        <rFont val="맑은 고딕"/>
        <family val="0"/>
        <charset val="1"/>
      </rPr>
      <t xml:space="preserve">]]</t>
    </r>
  </si>
  <si>
    <t xml:space="preserve">5050000000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</si>
  <si>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</si>
  <si>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5050100000</t>
  </si>
  <si>
    <t xml:space="preserve">수탁자보수</t>
  </si>
  <si>
    <t xml:space="preserve">5060000000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</si>
  <si>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</si>
  <si>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5060100000</t>
  </si>
  <si>
    <t xml:space="preserve">사무관리보수</t>
  </si>
  <si>
    <t xml:space="preserve">5060200000</t>
  </si>
  <si>
    <t xml:space="preserve">운용사보수</t>
  </si>
  <si>
    <t xml:space="preserve">5060500000</t>
  </si>
  <si>
    <t xml:space="preserve">판매사보수</t>
  </si>
  <si>
    <t xml:space="preserve">5070000000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</si>
  <si>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기타비용 </t>
    </r>
    <r>
      <rPr>
        <b val="true"/>
        <sz val="10"/>
        <rFont val="맑은 고딕"/>
        <family val="0"/>
        <charset val="1"/>
      </rPr>
      <t xml:space="preserve">]</t>
    </r>
  </si>
  <si>
    <t xml:space="preserve">5071400000</t>
  </si>
  <si>
    <t xml:space="preserve">펀드결제수수료</t>
  </si>
  <si>
    <t xml:space="preserve">6000000000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</si>
  <si>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맑은 고딕"/>
        <family val="0"/>
        <charset val="1"/>
      </rPr>
      <t xml:space="preserve">]]</t>
    </r>
  </si>
  <si>
    <t xml:space="preserve">6050000000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</si>
  <si>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수입이자 </t>
    </r>
    <r>
      <rPr>
        <b val="true"/>
        <sz val="10"/>
        <rFont val="맑은 고딕"/>
        <family val="0"/>
        <charset val="1"/>
      </rPr>
      <t xml:space="preserve">]</t>
    </r>
  </si>
  <si>
    <t xml:space="preserve">6050100000</t>
  </si>
  <si>
    <t xml:space="preserve">단기상품수입이자</t>
  </si>
  <si>
    <t xml:space="preserve">6060000000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</si>
  <si>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배당금수익 </t>
    </r>
    <r>
      <rPr>
        <b val="true"/>
        <sz val="10"/>
        <rFont val="맑은 고딕"/>
        <family val="0"/>
        <charset val="1"/>
      </rPr>
      <t xml:space="preserve">]</t>
    </r>
  </si>
  <si>
    <t xml:space="preserve">6060300000</t>
  </si>
  <si>
    <t xml:space="preserve">해외배당금수익</t>
  </si>
  <si>
    <t xml:space="preserve">6070000000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</si>
  <si>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외환차이익 </t>
    </r>
    <r>
      <rPr>
        <b val="true"/>
        <sz val="10"/>
        <rFont val="맑은 고딕"/>
        <family val="0"/>
        <charset val="1"/>
      </rPr>
      <t xml:space="preserve">]</t>
    </r>
  </si>
  <si>
    <t xml:space="preserve">6070100000</t>
  </si>
  <si>
    <r>
      <rPr>
        <sz val="10"/>
        <rFont val="WenQuanYi Zen Hei"/>
        <family val="2"/>
      </rPr>
      <t xml:space="preserve">외환차이익</t>
    </r>
    <r>
      <rPr>
        <sz val="10"/>
        <rFont val="맑은 고딕"/>
        <family val="0"/>
        <charset val="1"/>
      </rPr>
      <t xml:space="preserve">1</t>
    </r>
  </si>
  <si>
    <t xml:space="preserve">0000000000</t>
  </si>
  <si>
    <t xml:space="preserve">합계</t>
  </si>
  <si>
    <r>
      <rPr>
        <b val="true"/>
        <sz val="10"/>
        <rFont val="WenQuanYi Zen Hei"/>
        <family val="2"/>
      </rPr>
      <t xml:space="preserve">대차차이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</si>
  <si>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B</t>
    </r>
  </si>
  <si>
    <t xml:space="preserve">9010100000</t>
  </si>
  <si>
    <t xml:space="preserve">대차대조표순자산총액</t>
  </si>
  <si>
    <t xml:space="preserve">9010400000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</si>
  <si>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신탁재산순자산총액 </t>
    </r>
    <r>
      <rPr>
        <b val="true"/>
        <sz val="10"/>
        <rFont val="맑은 고딕"/>
        <family val="0"/>
        <charset val="1"/>
      </rPr>
      <t xml:space="preserve">]</t>
    </r>
  </si>
  <si>
    <t xml:space="preserve">9010500000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</si>
  <si>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수익증권잔존좌수 </t>
    </r>
    <r>
      <rPr>
        <b val="true"/>
        <sz val="10"/>
        <rFont val="맑은 고딕"/>
        <family val="0"/>
        <charset val="1"/>
      </rPr>
      <t xml:space="preserve">]</t>
    </r>
  </si>
  <si>
    <t xml:space="preserve">9010600000</t>
  </si>
  <si>
    <t xml:space="preserve">수익증권기준가격</t>
  </si>
  <si>
    <t xml:space="preserve">9010700000</t>
  </si>
  <si>
    <t xml:space="preserve">과표기준가격</t>
  </si>
  <si>
    <t xml:space="preserve">B017100000</t>
  </si>
  <si>
    <t xml:space="preserve">보수산출용 자산총액</t>
  </si>
  <si>
    <t xml:space="preserve">G010100000</t>
  </si>
  <si>
    <t xml:space="preserve">신탁재산총자산</t>
  </si>
  <si>
    <t xml:space="preserve">Z300000000</t>
  </si>
  <si>
    <t xml:space="preserve">투자원금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</si>
</sst>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0"/>
    <numFmt numFmtId="166" formatCode="#,##0.00;\-#,##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3" t="s">
        <v>2</v>
      </c>
    </row>
    <row r="3" customFormat="false" ht="15" hidden="false" customHeight="false" outlineLevel="0" collapsed="false">
      <c r="A3" s="2" t="s">
        <v>3</v>
      </c>
      <c r="B3" s="2"/>
      <c r="C3" s="4" t="s">
        <v>4</v>
      </c>
      <c r="E3" s="5" t="s">
        <v>5</v>
      </c>
      <c r="F3" s="6" t="n">
        <f aca="false">B57</f>
        <v>10000000000</v>
      </c>
      <c r="G3" s="5" t="s">
        <v>6</v>
      </c>
      <c r="H3" s="6" t="n">
        <f aca="false">F3-C4</f>
        <v>0</v>
      </c>
    </row>
    <row r="4" customFormat="false" ht="15" hidden="false" customHeight="false" outlineLevel="0" collapsed="false">
      <c r="A4" s="2" t="s">
        <v>7</v>
      </c>
      <c r="B4" s="2"/>
      <c r="C4" s="7" t="n">
        <v>10000000000</v>
      </c>
      <c r="E4" s="8" t="s">
        <v>8</v>
      </c>
    </row>
    <row r="6" customFormat="false" ht="15" hidden="false" customHeight="false" outlineLevel="0" collapsed="false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</row>
    <row r="7" customFormat="false" ht="15" hidden="false" customHeight="false" outlineLevel="0" collapsed="false">
      <c r="F7" s="5" t="s">
        <v>18</v>
      </c>
    </row>
    <row r="8" customFormat="false" ht="15" hidden="false" customHeight="false" outlineLevel="0" collapsed="false">
      <c r="A8" s="10"/>
      <c r="B8" s="11" t="n">
        <f aca="false">B9+B12+B14</f>
        <v>10000000000</v>
      </c>
      <c r="C8" s="11" t="n">
        <f aca="false">C9+C12+C14</f>
        <v>26989</v>
      </c>
      <c r="D8" s="11" t="n">
        <f aca="false">D9+D12+D14</f>
        <v>9999973011</v>
      </c>
      <c r="E8" s="12" t="s">
        <v>19</v>
      </c>
      <c r="F8" s="10" t="s">
        <v>20</v>
      </c>
      <c r="G8" s="11" t="n">
        <f aca="false">G9+G12+G14</f>
        <v>0</v>
      </c>
      <c r="H8" s="11" t="n">
        <f aca="false">H9+H12+H14</f>
        <v>0</v>
      </c>
      <c r="I8" s="11" t="n">
        <f aca="false">I9+I12+I14</f>
        <v>0</v>
      </c>
    </row>
    <row r="9" customFormat="false" ht="15" hidden="false" customHeight="false" outlineLevel="0" collapsed="false">
      <c r="A9" s="13"/>
      <c r="B9" s="14" t="n">
        <f aca="false">SUM(B10,B11)</f>
        <v>562743000</v>
      </c>
      <c r="C9" s="14" t="n">
        <f aca="false">SUM(C10,C11)</f>
        <v>0</v>
      </c>
      <c r="D9" s="14" t="n">
        <f aca="false">SUM(D10,D11)</f>
        <v>562743000</v>
      </c>
      <c r="E9" s="15" t="s">
        <v>21</v>
      </c>
      <c r="F9" s="13" t="s">
        <v>22</v>
      </c>
      <c r="G9" s="14" t="n">
        <f aca="false">SUM(G10,G11)</f>
        <v>0</v>
      </c>
      <c r="H9" s="14" t="n">
        <f aca="false">SUM(H10,H11)</f>
        <v>0</v>
      </c>
      <c r="I9" s="14" t="n">
        <f aca="false">SUM(I10,I11)</f>
        <v>0</v>
      </c>
    </row>
    <row r="10" customFormat="false" ht="15" hidden="false" customHeight="false" outlineLevel="0" collapsed="false">
      <c r="A10" s="16"/>
      <c r="B10" s="17" t="n">
        <f aca="false">D10+C10</f>
        <v>394036000</v>
      </c>
      <c r="C10" s="17" t="n">
        <v>0</v>
      </c>
      <c r="D10" s="17" t="n">
        <v>394036000</v>
      </c>
      <c r="E10" s="18" t="s">
        <v>23</v>
      </c>
      <c r="F10" s="19" t="s">
        <v>24</v>
      </c>
      <c r="G10" s="17" t="n">
        <v>0</v>
      </c>
      <c r="H10" s="17" t="n">
        <v>0</v>
      </c>
      <c r="I10" s="17" t="n">
        <v>0</v>
      </c>
    </row>
    <row r="11" customFormat="false" ht="15" hidden="false" customHeight="false" outlineLevel="0" collapsed="false">
      <c r="A11" s="19"/>
      <c r="B11" s="17" t="n">
        <f aca="false">D11+C11</f>
        <v>168707000</v>
      </c>
      <c r="C11" s="17" t="n">
        <v>0</v>
      </c>
      <c r="D11" s="17" t="n">
        <v>168707000</v>
      </c>
      <c r="E11" s="18" t="s">
        <v>25</v>
      </c>
      <c r="F11" s="19" t="s">
        <v>26</v>
      </c>
      <c r="G11" s="17" t="n">
        <v>0</v>
      </c>
      <c r="H11" s="17" t="n">
        <v>0</v>
      </c>
      <c r="I11" s="17" t="n">
        <v>0</v>
      </c>
    </row>
    <row r="12" customFormat="false" ht="15" hidden="false" customHeight="false" outlineLevel="0" collapsed="false">
      <c r="A12" s="13"/>
      <c r="B12" s="14" t="n">
        <f aca="false">SUM(B13)</f>
        <v>9388526352</v>
      </c>
      <c r="C12" s="14" t="n">
        <f aca="false">SUM(C13)</f>
        <v>0</v>
      </c>
      <c r="D12" s="14" t="n">
        <f aca="false">SUM(D13)</f>
        <v>9388526352</v>
      </c>
      <c r="E12" s="15" t="s">
        <v>27</v>
      </c>
      <c r="F12" s="13" t="s">
        <v>28</v>
      </c>
      <c r="G12" s="14" t="n">
        <f aca="false">SUM(G13)</f>
        <v>0</v>
      </c>
      <c r="H12" s="14" t="n">
        <f aca="false">SUM(H13)</f>
        <v>0</v>
      </c>
      <c r="I12" s="14" t="n">
        <f aca="false">SUM(I13)</f>
        <v>0</v>
      </c>
    </row>
    <row r="13" customFormat="false" ht="15" hidden="false" customHeight="false" outlineLevel="0" collapsed="false">
      <c r="A13" s="19"/>
      <c r="B13" s="17" t="n">
        <f aca="false">$C$4-(B10+B11+B15+B16)</f>
        <v>9388526352</v>
      </c>
      <c r="C13" s="17" t="n">
        <v>0</v>
      </c>
      <c r="D13" s="17" t="n">
        <f aca="false">B13-C13</f>
        <v>9388526352</v>
      </c>
      <c r="E13" s="18" t="s">
        <v>29</v>
      </c>
      <c r="F13" s="19" t="s">
        <v>30</v>
      </c>
      <c r="G13" s="17" t="n">
        <v>0</v>
      </c>
      <c r="H13" s="17" t="n">
        <v>0</v>
      </c>
      <c r="I13" s="17" t="n">
        <v>0</v>
      </c>
    </row>
    <row r="14" customFormat="false" ht="15" hidden="false" customHeight="false" outlineLevel="0" collapsed="false">
      <c r="A14" s="13"/>
      <c r="B14" s="14" t="n">
        <f aca="false">SUM(B15,B16)</f>
        <v>48730648</v>
      </c>
      <c r="C14" s="14" t="n">
        <f aca="false">SUM(C15,C16)</f>
        <v>26989</v>
      </c>
      <c r="D14" s="14" t="n">
        <f aca="false">SUM(D15,D16)</f>
        <v>48703659</v>
      </c>
      <c r="E14" s="15" t="s">
        <v>31</v>
      </c>
      <c r="F14" s="13" t="s">
        <v>32</v>
      </c>
      <c r="G14" s="14" t="n">
        <f aca="false">SUM(G15,G16)</f>
        <v>0</v>
      </c>
      <c r="H14" s="14" t="n">
        <f aca="false">SUM(H15,H16)</f>
        <v>0</v>
      </c>
      <c r="I14" s="14" t="n">
        <f aca="false">SUM(I15,I16)</f>
        <v>0</v>
      </c>
    </row>
    <row r="15" customFormat="false" ht="15" hidden="false" customHeight="false" outlineLevel="0" collapsed="false">
      <c r="A15" s="19"/>
      <c r="B15" s="17" t="n">
        <f aca="false">D15+C15</f>
        <v>863648</v>
      </c>
      <c r="C15" s="17" t="n">
        <v>26989</v>
      </c>
      <c r="D15" s="17" t="n">
        <v>836659</v>
      </c>
      <c r="E15" s="18" t="s">
        <v>33</v>
      </c>
      <c r="F15" s="19" t="s">
        <v>34</v>
      </c>
      <c r="G15" s="17" t="n">
        <v>0</v>
      </c>
      <c r="H15" s="17" t="n">
        <v>0</v>
      </c>
      <c r="I15" s="17" t="n">
        <v>0</v>
      </c>
    </row>
    <row r="16" customFormat="false" ht="15" hidden="false" customHeight="false" outlineLevel="0" collapsed="false">
      <c r="A16" s="19"/>
      <c r="B16" s="17" t="n">
        <f aca="false">D16+C16</f>
        <v>47867000</v>
      </c>
      <c r="C16" s="17" t="n">
        <v>0</v>
      </c>
      <c r="D16" s="17" t="n">
        <v>47867000</v>
      </c>
      <c r="E16" s="18" t="s">
        <v>35</v>
      </c>
      <c r="F16" s="19" t="s">
        <v>36</v>
      </c>
      <c r="G16" s="17" t="n">
        <v>0</v>
      </c>
      <c r="H16" s="17" t="n">
        <v>0</v>
      </c>
      <c r="I16" s="17" t="n">
        <v>0</v>
      </c>
    </row>
    <row r="17" customFormat="false" ht="15" hidden="false" customHeight="false" outlineLevel="0" collapsed="false">
      <c r="A17" s="10"/>
      <c r="B17" s="11" t="n">
        <f aca="false">B18+B20+B24</f>
        <v>0</v>
      </c>
      <c r="C17" s="11" t="n">
        <f aca="false">C18+C20+C24</f>
        <v>0</v>
      </c>
      <c r="D17" s="11" t="n">
        <f aca="false">D18+D20+D24</f>
        <v>0</v>
      </c>
      <c r="E17" s="12" t="s">
        <v>37</v>
      </c>
      <c r="F17" s="10" t="s">
        <v>38</v>
      </c>
      <c r="G17" s="11" t="n">
        <f aca="false">G18+G20+G24</f>
        <v>11857140</v>
      </c>
      <c r="H17" s="11" t="n">
        <f aca="false">H18+H20+H24</f>
        <v>131746</v>
      </c>
      <c r="I17" s="11" t="n">
        <f aca="false">I18+I20+I24</f>
        <v>11988886</v>
      </c>
    </row>
    <row r="18" customFormat="false" ht="15" hidden="false" customHeight="false" outlineLevel="0" collapsed="false">
      <c r="A18" s="13"/>
      <c r="B18" s="14" t="n">
        <f aca="false">SUM(B19)</f>
        <v>0</v>
      </c>
      <c r="C18" s="14" t="n">
        <f aca="false">SUM(C19)</f>
        <v>0</v>
      </c>
      <c r="D18" s="14" t="n">
        <f aca="false">SUM(D19)</f>
        <v>0</v>
      </c>
      <c r="E18" s="15" t="s">
        <v>39</v>
      </c>
      <c r="F18" s="13" t="s">
        <v>40</v>
      </c>
      <c r="G18" s="14" t="n">
        <f aca="false">SUM(G19)</f>
        <v>739710</v>
      </c>
      <c r="H18" s="14" t="n">
        <f aca="false">SUM(H19)</f>
        <v>8219</v>
      </c>
      <c r="I18" s="14" t="n">
        <f aca="false">SUM(I19)</f>
        <v>747929</v>
      </c>
    </row>
    <row r="19" customFormat="false" ht="15" hidden="false" customHeight="false" outlineLevel="0" collapsed="false">
      <c r="A19" s="19"/>
      <c r="B19" s="17" t="n">
        <v>0</v>
      </c>
      <c r="C19" s="17" t="n">
        <v>0</v>
      </c>
      <c r="D19" s="17" t="n">
        <v>0</v>
      </c>
      <c r="E19" s="18" t="s">
        <v>41</v>
      </c>
      <c r="F19" s="19" t="s">
        <v>42</v>
      </c>
      <c r="G19" s="17" t="n">
        <v>739710</v>
      </c>
      <c r="H19" s="17" t="n">
        <v>8219</v>
      </c>
      <c r="I19" s="17" t="n">
        <f aca="false">G19+H19</f>
        <v>747929</v>
      </c>
    </row>
    <row r="20" customFormat="false" ht="15" hidden="false" customHeight="false" outlineLevel="0" collapsed="false">
      <c r="A20" s="13"/>
      <c r="B20" s="14" t="n">
        <f aca="false">SUM(B21,B22,B23)</f>
        <v>0</v>
      </c>
      <c r="C20" s="14" t="n">
        <f aca="false">SUM(C21,C22,C23)</f>
        <v>0</v>
      </c>
      <c r="D20" s="14" t="n">
        <f aca="false">SUM(D21,D22,D23)</f>
        <v>0</v>
      </c>
      <c r="E20" s="15" t="s">
        <v>43</v>
      </c>
      <c r="F20" s="13" t="s">
        <v>44</v>
      </c>
      <c r="G20" s="14" t="n">
        <f aca="false">SUM(G21,G22,G23)</f>
        <v>11095830</v>
      </c>
      <c r="H20" s="14" t="n">
        <f aca="false">SUM(H21,H22,H23)</f>
        <v>123287</v>
      </c>
      <c r="I20" s="14" t="n">
        <f aca="false">SUM(I21,I22,I23)</f>
        <v>11219117</v>
      </c>
    </row>
    <row r="21" customFormat="false" ht="15" hidden="false" customHeight="false" outlineLevel="0" collapsed="false">
      <c r="A21" s="19"/>
      <c r="B21" s="17" t="n">
        <v>0</v>
      </c>
      <c r="C21" s="17" t="n">
        <v>0</v>
      </c>
      <c r="D21" s="17" t="n">
        <v>0</v>
      </c>
      <c r="E21" s="18" t="s">
        <v>45</v>
      </c>
      <c r="F21" s="19" t="s">
        <v>46</v>
      </c>
      <c r="G21" s="17" t="n">
        <v>493110</v>
      </c>
      <c r="H21" s="17" t="n">
        <v>5479</v>
      </c>
      <c r="I21" s="17" t="n">
        <f aca="false">G21+H21</f>
        <v>498589</v>
      </c>
    </row>
    <row r="22" customFormat="false" ht="15" hidden="false" customHeight="false" outlineLevel="0" collapsed="false">
      <c r="A22" s="19"/>
      <c r="B22" s="17" t="n">
        <v>0</v>
      </c>
      <c r="C22" s="17" t="n">
        <v>0</v>
      </c>
      <c r="D22" s="17" t="n">
        <v>0</v>
      </c>
      <c r="E22" s="18" t="s">
        <v>47</v>
      </c>
      <c r="F22" s="19" t="s">
        <v>48</v>
      </c>
      <c r="G22" s="17" t="n">
        <v>9863010</v>
      </c>
      <c r="H22" s="17" t="n">
        <v>109589</v>
      </c>
      <c r="I22" s="17" t="n">
        <f aca="false">G22+H22</f>
        <v>9972599</v>
      </c>
    </row>
    <row r="23" customFormat="false" ht="15" hidden="false" customHeight="false" outlineLevel="0" collapsed="false">
      <c r="A23" s="19"/>
      <c r="B23" s="17" t="n">
        <v>0</v>
      </c>
      <c r="C23" s="17" t="n">
        <v>0</v>
      </c>
      <c r="D23" s="17" t="n">
        <v>0</v>
      </c>
      <c r="E23" s="18" t="s">
        <v>49</v>
      </c>
      <c r="F23" s="19" t="s">
        <v>50</v>
      </c>
      <c r="G23" s="17" t="n">
        <v>739710</v>
      </c>
      <c r="H23" s="17" t="n">
        <v>8219</v>
      </c>
      <c r="I23" s="17" t="n">
        <f aca="false">G23+H23</f>
        <v>747929</v>
      </c>
    </row>
    <row r="24" customFormat="false" ht="15" hidden="false" customHeight="false" outlineLevel="0" collapsed="false">
      <c r="A24" s="13"/>
      <c r="B24" s="14" t="n">
        <f aca="false">SUM(B25)</f>
        <v>0</v>
      </c>
      <c r="C24" s="14" t="n">
        <f aca="false">SUM(C25)</f>
        <v>0</v>
      </c>
      <c r="D24" s="14" t="n">
        <f aca="false">SUM(D25)</f>
        <v>0</v>
      </c>
      <c r="E24" s="15" t="s">
        <v>51</v>
      </c>
      <c r="F24" s="13" t="s">
        <v>52</v>
      </c>
      <c r="G24" s="14" t="n">
        <f aca="false">SUM(G25)</f>
        <v>21600</v>
      </c>
      <c r="H24" s="14" t="n">
        <f aca="false">SUM(H25)</f>
        <v>240</v>
      </c>
      <c r="I24" s="14" t="n">
        <f aca="false">SUM(I25)</f>
        <v>21840</v>
      </c>
    </row>
    <row r="25" customFormat="false" ht="15" hidden="false" customHeight="false" outlineLevel="0" collapsed="false">
      <c r="A25" s="19"/>
      <c r="B25" s="17" t="n">
        <v>0</v>
      </c>
      <c r="C25" s="17" t="n">
        <v>0</v>
      </c>
      <c r="D25" s="17" t="n">
        <v>0</v>
      </c>
      <c r="E25" s="18" t="s">
        <v>53</v>
      </c>
      <c r="F25" s="19" t="s">
        <v>54</v>
      </c>
      <c r="G25" s="17" t="n">
        <v>21600</v>
      </c>
      <c r="H25" s="17" t="n">
        <v>240</v>
      </c>
      <c r="I25" s="17" t="n">
        <f aca="false">G25+H25</f>
        <v>21840</v>
      </c>
    </row>
    <row r="26" customFormat="false" ht="15" hidden="false" customHeight="false" outlineLevel="0" collapsed="false">
      <c r="A26" s="10"/>
      <c r="B26" s="11" t="n">
        <f aca="false">B27+B29</f>
        <v>0</v>
      </c>
      <c r="C26" s="11" t="n">
        <f aca="false">C27+C29</f>
        <v>0</v>
      </c>
      <c r="D26" s="11" t="n">
        <f aca="false">D27+D29</f>
        <v>0</v>
      </c>
      <c r="E26" s="12" t="s">
        <v>55</v>
      </c>
      <c r="F26" s="10" t="s">
        <v>56</v>
      </c>
      <c r="G26" s="11" t="n">
        <f aca="false">G27+G29</f>
        <v>9895484160</v>
      </c>
      <c r="H26" s="11" t="n">
        <f aca="false">H27+H29</f>
        <v>0</v>
      </c>
      <c r="I26" s="11" t="n">
        <f aca="false">I27+I29</f>
        <v>9895484160</v>
      </c>
    </row>
    <row r="27" customFormat="false" ht="15" hidden="false" customHeight="false" outlineLevel="0" collapsed="false">
      <c r="A27" s="13"/>
      <c r="B27" s="14" t="n">
        <f aca="false">B28</f>
        <v>0</v>
      </c>
      <c r="C27" s="14" t="n">
        <f aca="false">C28</f>
        <v>0</v>
      </c>
      <c r="D27" s="14" t="n">
        <f aca="false">D28</f>
        <v>0</v>
      </c>
      <c r="E27" s="15" t="s">
        <v>57</v>
      </c>
      <c r="F27" s="13" t="s">
        <v>58</v>
      </c>
      <c r="G27" s="14" t="n">
        <f aca="false">G28</f>
        <v>9652677111</v>
      </c>
      <c r="H27" s="14" t="n">
        <f aca="false">H28</f>
        <v>0</v>
      </c>
      <c r="I27" s="14" t="n">
        <f aca="false">I28</f>
        <v>9652677111</v>
      </c>
    </row>
    <row r="28" customFormat="false" ht="15" hidden="false" customHeight="false" outlineLevel="0" collapsed="false">
      <c r="A28" s="19"/>
      <c r="B28" s="17" t="n">
        <v>0</v>
      </c>
      <c r="C28" s="17" t="n">
        <v>0</v>
      </c>
      <c r="D28" s="17" t="n">
        <v>0</v>
      </c>
      <c r="E28" s="18" t="s">
        <v>59</v>
      </c>
      <c r="F28" s="19" t="s">
        <v>60</v>
      </c>
      <c r="G28" s="17" t="n">
        <v>9652677111</v>
      </c>
      <c r="H28" s="17" t="n">
        <v>0</v>
      </c>
      <c r="I28" s="17" t="n">
        <f aca="false">G28+H28</f>
        <v>9652677111</v>
      </c>
    </row>
    <row r="29" customFormat="false" ht="15" hidden="false" customHeight="false" outlineLevel="0" collapsed="false">
      <c r="A29" s="13"/>
      <c r="B29" s="14" t="n">
        <f aca="false">B30</f>
        <v>0</v>
      </c>
      <c r="C29" s="14" t="n">
        <f aca="false">C30</f>
        <v>0</v>
      </c>
      <c r="D29" s="14" t="n">
        <f aca="false">D30</f>
        <v>0</v>
      </c>
      <c r="E29" s="15" t="s">
        <v>61</v>
      </c>
      <c r="F29" s="13" t="s">
        <v>62</v>
      </c>
      <c r="G29" s="14" t="n">
        <f aca="false">G30</f>
        <v>242807049</v>
      </c>
      <c r="H29" s="14" t="n">
        <f aca="false">H30</f>
        <v>0</v>
      </c>
      <c r="I29" s="14" t="n">
        <f aca="false">I30</f>
        <v>242807049</v>
      </c>
    </row>
    <row r="30" customFormat="false" ht="15" hidden="false" customHeight="false" outlineLevel="0" collapsed="false">
      <c r="A30" s="19"/>
      <c r="B30" s="17" t="n">
        <v>0</v>
      </c>
      <c r="C30" s="17" t="n">
        <v>0</v>
      </c>
      <c r="D30" s="17" t="n">
        <v>0</v>
      </c>
      <c r="E30" s="18" t="s">
        <v>63</v>
      </c>
      <c r="F30" s="19" t="s">
        <v>64</v>
      </c>
      <c r="G30" s="17" t="n">
        <f aca="false">I30-H30</f>
        <v>242807049</v>
      </c>
      <c r="H30" s="17" t="n">
        <v>0</v>
      </c>
      <c r="I30" s="17" t="n">
        <f aca="false">(B8+B31)-(I17+I28+I40)</f>
        <v>242807049</v>
      </c>
    </row>
    <row r="31" customFormat="false" ht="15" hidden="false" customHeight="false" outlineLevel="0" collapsed="false">
      <c r="A31" s="10"/>
      <c r="B31" s="11" t="n">
        <f aca="false">B32+B34+B38</f>
        <v>11988886</v>
      </c>
      <c r="C31" s="11" t="n">
        <f aca="false">C32+C34+C38</f>
        <v>131746</v>
      </c>
      <c r="D31" s="11" t="n">
        <f aca="false">D32+D34+D38</f>
        <v>11857140</v>
      </c>
      <c r="E31" s="12" t="s">
        <v>65</v>
      </c>
      <c r="F31" s="10" t="s">
        <v>66</v>
      </c>
      <c r="G31" s="11" t="n">
        <f aca="false">G32+G34+G38</f>
        <v>0</v>
      </c>
      <c r="H31" s="11" t="n">
        <f aca="false">H32+H34+H38</f>
        <v>0</v>
      </c>
      <c r="I31" s="11" t="n">
        <f aca="false">I32+I34+I38</f>
        <v>0</v>
      </c>
    </row>
    <row r="32" customFormat="false" ht="15" hidden="false" customHeight="false" outlineLevel="0" collapsed="false">
      <c r="A32" s="13"/>
      <c r="B32" s="14" t="n">
        <f aca="false">SUM(B33)</f>
        <v>747929</v>
      </c>
      <c r="C32" s="14" t="n">
        <f aca="false">SUM(C33)</f>
        <v>8219</v>
      </c>
      <c r="D32" s="14" t="n">
        <f aca="false">SUM(D33)</f>
        <v>739710</v>
      </c>
      <c r="E32" s="15" t="s">
        <v>67</v>
      </c>
      <c r="F32" s="13" t="s">
        <v>68</v>
      </c>
      <c r="G32" s="14" t="n">
        <f aca="false">SUM(G33)</f>
        <v>0</v>
      </c>
      <c r="H32" s="14" t="n">
        <f aca="false">SUM(H33)</f>
        <v>0</v>
      </c>
      <c r="I32" s="14" t="n">
        <f aca="false">SUM(I33)</f>
        <v>0</v>
      </c>
    </row>
    <row r="33" customFormat="false" ht="15" hidden="false" customHeight="false" outlineLevel="0" collapsed="false">
      <c r="A33" s="19"/>
      <c r="B33" s="17" t="n">
        <f aca="false">D33+C33</f>
        <v>747929</v>
      </c>
      <c r="C33" s="17" t="n">
        <v>8219</v>
      </c>
      <c r="D33" s="17" t="n">
        <v>739710</v>
      </c>
      <c r="E33" s="18" t="s">
        <v>69</v>
      </c>
      <c r="F33" s="19" t="s">
        <v>70</v>
      </c>
      <c r="G33" s="17" t="n">
        <v>0</v>
      </c>
      <c r="H33" s="17" t="n">
        <v>0</v>
      </c>
      <c r="I33" s="17" t="n">
        <v>0</v>
      </c>
    </row>
    <row r="34" customFormat="false" ht="15" hidden="false" customHeight="false" outlineLevel="0" collapsed="false">
      <c r="A34" s="13"/>
      <c r="B34" s="14" t="n">
        <f aca="false">SUM(B35,B36,B37)</f>
        <v>11219117</v>
      </c>
      <c r="C34" s="14" t="n">
        <f aca="false">SUM(C35,C36,C37)</f>
        <v>123287</v>
      </c>
      <c r="D34" s="14" t="n">
        <f aca="false">SUM(D35,D36,D37)</f>
        <v>11095830</v>
      </c>
      <c r="E34" s="15" t="s">
        <v>71</v>
      </c>
      <c r="F34" s="13" t="s">
        <v>72</v>
      </c>
      <c r="G34" s="14" t="n">
        <f aca="false">SUM(G35,G36,G37)</f>
        <v>0</v>
      </c>
      <c r="H34" s="14" t="n">
        <f aca="false">SUM(H35,H36,H37)</f>
        <v>0</v>
      </c>
      <c r="I34" s="14" t="n">
        <f aca="false">SUM(I35,I36,I37)</f>
        <v>0</v>
      </c>
    </row>
    <row r="35" customFormat="false" ht="15" hidden="false" customHeight="false" outlineLevel="0" collapsed="false">
      <c r="A35" s="19"/>
      <c r="B35" s="17" t="n">
        <f aca="false">D35+C35</f>
        <v>498589</v>
      </c>
      <c r="C35" s="17" t="n">
        <v>5479</v>
      </c>
      <c r="D35" s="17" t="n">
        <v>493110</v>
      </c>
      <c r="E35" s="18" t="s">
        <v>73</v>
      </c>
      <c r="F35" s="19" t="s">
        <v>74</v>
      </c>
      <c r="G35" s="17" t="n">
        <v>0</v>
      </c>
      <c r="H35" s="17" t="n">
        <v>0</v>
      </c>
      <c r="I35" s="17" t="n">
        <v>0</v>
      </c>
    </row>
    <row r="36" customFormat="false" ht="15" hidden="false" customHeight="false" outlineLevel="0" collapsed="false">
      <c r="A36" s="19"/>
      <c r="B36" s="17" t="n">
        <f aca="false">D36+C36</f>
        <v>9972599</v>
      </c>
      <c r="C36" s="17" t="n">
        <v>109589</v>
      </c>
      <c r="D36" s="17" t="n">
        <v>9863010</v>
      </c>
      <c r="E36" s="18" t="s">
        <v>75</v>
      </c>
      <c r="F36" s="19" t="s">
        <v>76</v>
      </c>
      <c r="G36" s="17" t="n">
        <v>0</v>
      </c>
      <c r="H36" s="17" t="n">
        <v>0</v>
      </c>
      <c r="I36" s="17" t="n">
        <v>0</v>
      </c>
    </row>
    <row r="37" customFormat="false" ht="15" hidden="false" customHeight="false" outlineLevel="0" collapsed="false">
      <c r="A37" s="19"/>
      <c r="B37" s="17" t="n">
        <f aca="false">D37+C37</f>
        <v>747929</v>
      </c>
      <c r="C37" s="17" t="n">
        <v>8219</v>
      </c>
      <c r="D37" s="17" t="n">
        <v>739710</v>
      </c>
      <c r="E37" s="18" t="s">
        <v>77</v>
      </c>
      <c r="F37" s="19" t="s">
        <v>78</v>
      </c>
      <c r="G37" s="17" t="n">
        <v>0</v>
      </c>
      <c r="H37" s="17" t="n">
        <v>0</v>
      </c>
      <c r="I37" s="17" t="n">
        <v>0</v>
      </c>
    </row>
    <row r="38" customFormat="false" ht="15" hidden="false" customHeight="false" outlineLevel="0" collapsed="false">
      <c r="A38" s="13"/>
      <c r="B38" s="14" t="n">
        <f aca="false">SUM(B39)</f>
        <v>21840</v>
      </c>
      <c r="C38" s="14" t="n">
        <f aca="false">SUM(C39)</f>
        <v>240</v>
      </c>
      <c r="D38" s="14" t="n">
        <f aca="false">SUM(D39)</f>
        <v>21600</v>
      </c>
      <c r="E38" s="15" t="s">
        <v>79</v>
      </c>
      <c r="F38" s="13" t="s">
        <v>80</v>
      </c>
      <c r="G38" s="14" t="n">
        <f aca="false">SUM(G39)</f>
        <v>0</v>
      </c>
      <c r="H38" s="14" t="n">
        <f aca="false">SUM(H39)</f>
        <v>0</v>
      </c>
      <c r="I38" s="14" t="n">
        <f aca="false">SUM(I39)</f>
        <v>0</v>
      </c>
    </row>
    <row r="39" customFormat="false" ht="15" hidden="false" customHeight="false" outlineLevel="0" collapsed="false">
      <c r="A39" s="19"/>
      <c r="B39" s="17" t="n">
        <f aca="false">D39+C39</f>
        <v>21840</v>
      </c>
      <c r="C39" s="17" t="n">
        <v>240</v>
      </c>
      <c r="D39" s="17" t="n">
        <v>21600</v>
      </c>
      <c r="E39" s="18" t="s">
        <v>81</v>
      </c>
      <c r="F39" s="19" t="s">
        <v>82</v>
      </c>
      <c r="G39" s="17" t="n">
        <v>0</v>
      </c>
      <c r="H39" s="17" t="n">
        <v>0</v>
      </c>
      <c r="I39" s="17" t="n">
        <v>0</v>
      </c>
    </row>
    <row r="40" customFormat="false" ht="15" hidden="false" customHeight="false" outlineLevel="0" collapsed="false">
      <c r="A40" s="10"/>
      <c r="B40" s="11" t="n">
        <f aca="false">B41+B43+B45</f>
        <v>0</v>
      </c>
      <c r="C40" s="11" t="n">
        <f aca="false">C41+C43+C45</f>
        <v>0</v>
      </c>
      <c r="D40" s="11" t="n">
        <f aca="false">D41+D43+D45</f>
        <v>0</v>
      </c>
      <c r="E40" s="12" t="s">
        <v>83</v>
      </c>
      <c r="F40" s="10" t="s">
        <v>84</v>
      </c>
      <c r="G40" s="11" t="n">
        <f aca="false">G41+G43+G45</f>
        <v>104488851</v>
      </c>
      <c r="H40" s="11" t="n">
        <f aca="false">H41+H43+H45</f>
        <v>26989</v>
      </c>
      <c r="I40" s="11" t="n">
        <f aca="false">I41+I43+I45</f>
        <v>104515840</v>
      </c>
    </row>
    <row r="41" customFormat="false" ht="15" hidden="false" customHeight="false" outlineLevel="0" collapsed="false">
      <c r="A41" s="13"/>
      <c r="B41" s="14" t="n">
        <f aca="false">SUM(B42)</f>
        <v>0</v>
      </c>
      <c r="C41" s="14" t="n">
        <f aca="false">SUM(C42)</f>
        <v>0</v>
      </c>
      <c r="D41" s="14" t="n">
        <f aca="false">SUM(D42)</f>
        <v>0</v>
      </c>
      <c r="E41" s="15" t="s">
        <v>85</v>
      </c>
      <c r="F41" s="13" t="s">
        <v>86</v>
      </c>
      <c r="G41" s="14" t="n">
        <f aca="false">SUM(G42)</f>
        <v>2429010</v>
      </c>
      <c r="H41" s="14" t="n">
        <f aca="false">SUM(H42)</f>
        <v>26989</v>
      </c>
      <c r="I41" s="14" t="n">
        <f aca="false">SUM(I42)</f>
        <v>2455999</v>
      </c>
    </row>
    <row r="42" customFormat="false" ht="15" hidden="false" customHeight="false" outlineLevel="0" collapsed="false">
      <c r="A42" s="19"/>
      <c r="B42" s="17" t="n">
        <v>0</v>
      </c>
      <c r="C42" s="17" t="n">
        <v>0</v>
      </c>
      <c r="D42" s="17" t="n">
        <v>0</v>
      </c>
      <c r="E42" s="18" t="s">
        <v>87</v>
      </c>
      <c r="F42" s="19" t="s">
        <v>88</v>
      </c>
      <c r="G42" s="17" t="n">
        <v>2429010</v>
      </c>
      <c r="H42" s="17" t="n">
        <v>26989</v>
      </c>
      <c r="I42" s="17" t="n">
        <f aca="false">G42+H42</f>
        <v>2455999</v>
      </c>
    </row>
    <row r="43" customFormat="false" ht="15" hidden="false" customHeight="false" outlineLevel="0" collapsed="false">
      <c r="A43" s="13"/>
      <c r="B43" s="14" t="n">
        <f aca="false">SUM(B44)</f>
        <v>0</v>
      </c>
      <c r="C43" s="14" t="n">
        <f aca="false">SUM(C44)</f>
        <v>0</v>
      </c>
      <c r="D43" s="14" t="n">
        <f aca="false">SUM(D44)</f>
        <v>0</v>
      </c>
      <c r="E43" s="15" t="s">
        <v>89</v>
      </c>
      <c r="F43" s="13" t="s">
        <v>90</v>
      </c>
      <c r="G43" s="14" t="n">
        <f aca="false">SUM(G44)</f>
        <v>47867000</v>
      </c>
      <c r="H43" s="14" t="n">
        <f aca="false">SUM(H44)</f>
        <v>0</v>
      </c>
      <c r="I43" s="14" t="n">
        <f aca="false">SUM(I44)</f>
        <v>47867000</v>
      </c>
    </row>
    <row r="44" customFormat="false" ht="15" hidden="false" customHeight="false" outlineLevel="0" collapsed="false">
      <c r="A44" s="19"/>
      <c r="B44" s="17" t="n">
        <v>0</v>
      </c>
      <c r="C44" s="17" t="n">
        <v>0</v>
      </c>
      <c r="D44" s="17" t="n">
        <v>0</v>
      </c>
      <c r="E44" s="18" t="s">
        <v>91</v>
      </c>
      <c r="F44" s="19" t="s">
        <v>92</v>
      </c>
      <c r="G44" s="17" t="n">
        <v>47867000</v>
      </c>
      <c r="H44" s="17" t="n">
        <v>0</v>
      </c>
      <c r="I44" s="17" t="n">
        <f aca="false">G44+H44</f>
        <v>47867000</v>
      </c>
    </row>
    <row r="45" customFormat="false" ht="15" hidden="false" customHeight="false" outlineLevel="0" collapsed="false">
      <c r="A45" s="13"/>
      <c r="B45" s="14" t="n">
        <f aca="false">SUM(B46)</f>
        <v>0</v>
      </c>
      <c r="C45" s="14" t="n">
        <f aca="false">SUM(C46)</f>
        <v>0</v>
      </c>
      <c r="D45" s="14" t="n">
        <f aca="false">SUM(D46)</f>
        <v>0</v>
      </c>
      <c r="E45" s="15" t="s">
        <v>93</v>
      </c>
      <c r="F45" s="13" t="s">
        <v>94</v>
      </c>
      <c r="G45" s="14" t="n">
        <f aca="false">SUM(G46)</f>
        <v>54192841</v>
      </c>
      <c r="H45" s="14" t="n">
        <f aca="false">SUM(H46)</f>
        <v>0</v>
      </c>
      <c r="I45" s="14" t="n">
        <f aca="false">SUM(I46)</f>
        <v>54192841</v>
      </c>
    </row>
    <row r="46" customFormat="false" ht="15" hidden="false" customHeight="false" outlineLevel="0" collapsed="false">
      <c r="A46" s="19"/>
      <c r="B46" s="17" t="n">
        <v>0</v>
      </c>
      <c r="C46" s="17" t="n">
        <v>0</v>
      </c>
      <c r="D46" s="17" t="n">
        <v>0</v>
      </c>
      <c r="E46" s="18" t="s">
        <v>95</v>
      </c>
      <c r="F46" s="19" t="s">
        <v>96</v>
      </c>
      <c r="G46" s="17" t="n">
        <v>54192841</v>
      </c>
      <c r="H46" s="17" t="n">
        <v>0</v>
      </c>
      <c r="I46" s="17" t="n">
        <f aca="false">G46+H46</f>
        <v>54192841</v>
      </c>
    </row>
    <row r="47" customFormat="false" ht="15" hidden="false" customHeight="false" outlineLevel="0" collapsed="false">
      <c r="A47" s="20"/>
      <c r="B47" s="21" t="n">
        <f aca="false">B8+B31</f>
        <v>10011988886</v>
      </c>
      <c r="C47" s="21" t="n">
        <f aca="false">C8+C31</f>
        <v>158735</v>
      </c>
      <c r="D47" s="21" t="n">
        <f aca="false">D8+D31</f>
        <v>10011830151</v>
      </c>
      <c r="E47" s="22" t="s">
        <v>97</v>
      </c>
      <c r="F47" s="23" t="s">
        <v>98</v>
      </c>
      <c r="G47" s="21" t="n">
        <f aca="false">G17+G26+G40</f>
        <v>10011830151</v>
      </c>
      <c r="H47" s="21" t="n">
        <f aca="false">H17+H26+H40</f>
        <v>158735</v>
      </c>
      <c r="I47" s="21" t="n">
        <f aca="false">I17+I26+I40</f>
        <v>10011988886</v>
      </c>
    </row>
    <row r="48" customFormat="false" ht="15" hidden="false" customHeight="false" outlineLevel="0" collapsed="false">
      <c r="F48" s="5" t="s">
        <v>99</v>
      </c>
      <c r="I48" s="6" t="n">
        <f aca="false">B47-I47</f>
        <v>0</v>
      </c>
    </row>
    <row r="50" customFormat="false" ht="15" hidden="false" customHeight="false" outlineLevel="0" collapsed="false">
      <c r="F50" s="5" t="s">
        <v>100</v>
      </c>
    </row>
    <row r="51" customFormat="false" ht="15" hidden="false" customHeight="false" outlineLevel="0" collapsed="false">
      <c r="A51" s="19"/>
      <c r="B51" s="17" t="n">
        <f aca="false">B8-I17</f>
        <v>9988011114</v>
      </c>
      <c r="C51" s="17" t="n">
        <f aca="false">B51-D51</f>
        <v>-104757</v>
      </c>
      <c r="D51" s="17" t="n">
        <f aca="false">D8-G17</f>
        <v>9988115871</v>
      </c>
      <c r="E51" s="18" t="s">
        <v>101</v>
      </c>
      <c r="F51" s="19" t="s">
        <v>102</v>
      </c>
      <c r="G51" s="17" t="n">
        <v>0</v>
      </c>
      <c r="H51" s="17" t="n">
        <v>0</v>
      </c>
      <c r="I51" s="17" t="n">
        <v>0</v>
      </c>
    </row>
    <row r="52" customFormat="false" ht="15" hidden="false" customHeight="false" outlineLevel="0" collapsed="false">
      <c r="A52" s="13"/>
      <c r="B52" s="14" t="n">
        <f aca="false">B51</f>
        <v>9988011114</v>
      </c>
      <c r="C52" s="14" t="n">
        <f aca="false">B52-D52</f>
        <v>-104757</v>
      </c>
      <c r="D52" s="14" t="n">
        <f aca="false">D51</f>
        <v>9988115871</v>
      </c>
      <c r="E52" s="15" t="s">
        <v>103</v>
      </c>
      <c r="F52" s="13" t="s">
        <v>104</v>
      </c>
      <c r="G52" s="14" t="n">
        <v>0</v>
      </c>
      <c r="H52" s="14" t="n">
        <v>0</v>
      </c>
      <c r="I52" s="14" t="n">
        <v>0</v>
      </c>
    </row>
    <row r="53" customFormat="false" ht="15" hidden="false" customHeight="false" outlineLevel="0" collapsed="false">
      <c r="A53" s="13"/>
      <c r="B53" s="14" t="n">
        <f aca="false">I28</f>
        <v>9652677111</v>
      </c>
      <c r="C53" s="14" t="n">
        <f aca="false">B53-D53</f>
        <v>0</v>
      </c>
      <c r="D53" s="14" t="n">
        <f aca="false">G28</f>
        <v>9652677111</v>
      </c>
      <c r="E53" s="15" t="s">
        <v>105</v>
      </c>
      <c r="F53" s="13" t="s">
        <v>106</v>
      </c>
      <c r="G53" s="14" t="n">
        <v>0</v>
      </c>
      <c r="H53" s="14" t="n">
        <v>0</v>
      </c>
      <c r="I53" s="14" t="n">
        <v>0</v>
      </c>
    </row>
    <row r="54" customFormat="false" ht="15" hidden="false" customHeight="false" outlineLevel="0" collapsed="false">
      <c r="A54" s="13"/>
      <c r="B54" s="24" t="n">
        <f aca="false">ROUND(B52/B53*1000,2)</f>
        <v>1034.74</v>
      </c>
      <c r="C54" s="24" t="n">
        <f aca="false">B54-D54</f>
        <v>-0.00999999999999091</v>
      </c>
      <c r="D54" s="24" t="n">
        <f aca="false">ROUND(D52/D53*1000,2)</f>
        <v>1034.75</v>
      </c>
      <c r="E54" s="15" t="s">
        <v>107</v>
      </c>
      <c r="F54" s="25" t="s">
        <v>108</v>
      </c>
      <c r="G54" s="14" t="n">
        <v>0</v>
      </c>
      <c r="H54" s="14" t="n">
        <v>0</v>
      </c>
      <c r="I54" s="14" t="n">
        <v>0</v>
      </c>
    </row>
    <row r="55" customFormat="false" ht="15" hidden="false" customHeight="false" outlineLevel="0" collapsed="false">
      <c r="A55" s="19"/>
      <c r="B55" s="26" t="n">
        <f aca="false">B54</f>
        <v>1034.74</v>
      </c>
      <c r="C55" s="26" t="n">
        <f aca="false">B55-D55</f>
        <v>-0.00999999999999091</v>
      </c>
      <c r="D55" s="26" t="n">
        <f aca="false">D54</f>
        <v>1034.75</v>
      </c>
      <c r="E55" s="18" t="s">
        <v>109</v>
      </c>
      <c r="F55" s="19" t="s">
        <v>110</v>
      </c>
      <c r="G55" s="17" t="n">
        <v>0</v>
      </c>
      <c r="H55" s="17" t="n">
        <v>0</v>
      </c>
      <c r="I55" s="17" t="n">
        <v>0</v>
      </c>
    </row>
    <row r="56" customFormat="false" ht="15" hidden="false" customHeight="false" outlineLevel="0" collapsed="false">
      <c r="A56" s="19"/>
      <c r="B56" s="17" t="n">
        <f aca="false">B8</f>
        <v>10000000000</v>
      </c>
      <c r="C56" s="17" t="n">
        <f aca="false">B56-D56</f>
        <v>26989</v>
      </c>
      <c r="D56" s="17" t="n">
        <f aca="false">D8</f>
        <v>9999973011</v>
      </c>
      <c r="E56" s="18" t="s">
        <v>111</v>
      </c>
      <c r="F56" s="19" t="s">
        <v>112</v>
      </c>
      <c r="G56" s="17" t="n">
        <v>0</v>
      </c>
      <c r="H56" s="17" t="n">
        <v>0</v>
      </c>
      <c r="I56" s="17" t="n">
        <v>0</v>
      </c>
    </row>
    <row r="57" customFormat="false" ht="15" hidden="false" customHeight="false" outlineLevel="0" collapsed="false">
      <c r="A57" s="25"/>
      <c r="B57" s="14" t="n">
        <f aca="false">B8</f>
        <v>10000000000</v>
      </c>
      <c r="C57" s="14" t="n">
        <f aca="false">B57-D57</f>
        <v>26989</v>
      </c>
      <c r="D57" s="14" t="n">
        <f aca="false">D8</f>
        <v>9999973011</v>
      </c>
      <c r="E57" s="15" t="s">
        <v>113</v>
      </c>
      <c r="F57" s="25" t="s">
        <v>114</v>
      </c>
      <c r="G57" s="14" t="n">
        <v>0</v>
      </c>
      <c r="H57" s="14" t="n">
        <v>0</v>
      </c>
      <c r="I57" s="14" t="n">
        <v>0</v>
      </c>
    </row>
    <row r="58" customFormat="false" ht="15" hidden="false" customHeight="false" outlineLevel="0" collapsed="false">
      <c r="A58" s="19"/>
      <c r="B58" s="17" t="n">
        <f aca="false">I28</f>
        <v>9652677111</v>
      </c>
      <c r="C58" s="17" t="n">
        <f aca="false">B58-D58</f>
        <v>0</v>
      </c>
      <c r="D58" s="17" t="n">
        <f aca="false">G28</f>
        <v>9652677111</v>
      </c>
      <c r="E58" s="18" t="s">
        <v>115</v>
      </c>
      <c r="F58" s="19" t="s">
        <v>116</v>
      </c>
      <c r="G58" s="17" t="n">
        <v>0</v>
      </c>
      <c r="H58" s="17" t="n">
        <v>0</v>
      </c>
      <c r="I58" s="17" t="n">
        <v>0</v>
      </c>
    </row>
  </sheetData>
  <mergeCells count="3"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2026-10-14T07:52:17Z</dcterms:created>
  <dc:creator>openpyxl</dc:creator>
  <dc:description/>
  <dc:language>en-US</dc:language>
  <cp:lastModifiedBy/>
  <dcterms:modified xsi:type="dcterms:W3CDTF">2026-10-14T07:52:17Z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