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<sst xmlns="http://schemas.openxmlformats.org/spreadsheetml/2006/main" count="115" uniqueCount="115">
  <si>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</si>
  <si>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</si>
  <si>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현대인베스트</t>
    </r>
    <r>
      <rPr>
        <sz val="10"/>
        <rFont val="맑은 고딕"/>
        <family val="0"/>
        <charset val="1"/>
      </rPr>
      <t xml:space="preserve">MACKUSDEBT</t>
    </r>
    <r>
      <rPr>
        <sz val="10"/>
        <rFont val="WenQuanYi Zen Hei"/>
        <family val="2"/>
      </rPr>
      <t xml:space="preserve">사모부동산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</si>
  <si>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</si>
  <si>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</si>
  <si>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</si>
  <si>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</si>
  <si>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</si>
  <si>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</si>
  <si>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</si>
  <si>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</si>
  <si>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</si>
  <si>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</si>
  <si>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</si>
  <si>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</si>
  <si>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</si>
  <si>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</si>
  <si>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</si>
  <si>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</si>
  <si>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</si>
  <si>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</si>
  <si>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</si>
  <si>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</si>
  <si>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</si>
  <si>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</si>
  <si>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</si>
  <si>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</si>
  <si>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1080000000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</si>
  <si>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대여금 </t>
    </r>
    <r>
      <rPr>
        <b val="true"/>
        <sz val="10"/>
        <rFont val="맑은 고딕"/>
        <family val="0"/>
        <charset val="1"/>
      </rPr>
      <t xml:space="preserve">]</t>
    </r>
  </si>
  <si>
    <t xml:space="preserve">1080400000</t>
  </si>
  <si>
    <t xml:space="preserve">해외대여금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</si>
  <si>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</si>
  <si>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</si>
  <si>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</si>
  <si>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</si>
  <si>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1070400000</t>
  </si>
  <si>
    <t xml:space="preserve">대여금미수이자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</si>
  <si>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</si>
  <si>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</si>
  <si>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</si>
  <si>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</si>
  <si>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</si>
  <si>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</si>
  <si>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</si>
  <si>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</si>
  <si>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</si>
  <si>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</si>
  <si>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</si>
  <si>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</si>
  <si>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</si>
  <si>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</si>
  <si>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</si>
  <si>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</si>
  <si>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</si>
  <si>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</si>
  <si>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</si>
  <si>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</si>
  <si>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</si>
  <si>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</si>
  <si>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</si>
  <si>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</si>
  <si>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</si>
  <si>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</si>
  <si>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</si>
  <si>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</si>
  <si>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</si>
  <si>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</si>
  <si>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</si>
  <si>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</si>
  <si>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</si>
  <si>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</si>
  <si>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</si>
  <si>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</si>
  <si>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</si>
  <si>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</si>
  <si>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</si>
  <si>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</si>
  <si>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</si>
  <si>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</si>
  <si>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</si>
  <si>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</si>
  <si>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</si>
  <si>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</si>
  <si>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</si>
  <si>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</si>
  <si>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</si>
  <si>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</si>
  <si>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</si>
  <si>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</si>
  <si>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6050400000</t>
  </si>
  <si>
    <t xml:space="preserve">대여금수입이자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</si>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</sst>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B56</f>
        <v>3000000000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3000000000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3000000000</v>
      </c>
      <c r="C8" s="11" t="n">
        <f aca="false">C9+C12+C14</f>
        <v>552573</v>
      </c>
      <c r="D8" s="11" t="n">
        <f aca="false">D9+D12+D14</f>
        <v>2999447427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123347000</v>
      </c>
      <c r="C9" s="14" t="n">
        <f aca="false">SUM(C10,C11)</f>
        <v>0</v>
      </c>
      <c r="D9" s="14" t="n">
        <f aca="false">SUM(D10,D11)</f>
        <v>123347000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87564000</v>
      </c>
      <c r="C10" s="17" t="n">
        <v>0</v>
      </c>
      <c r="D10" s="17" t="n">
        <v>87564000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35783000</v>
      </c>
      <c r="C11" s="17" t="n">
        <v>0</v>
      </c>
      <c r="D11" s="17" t="n">
        <v>35783000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2858922680</v>
      </c>
      <c r="C12" s="14" t="n">
        <f aca="false">SUM(C13)</f>
        <v>0</v>
      </c>
      <c r="D12" s="14" t="n">
        <f aca="false">SUM(D13)</f>
        <v>2858922680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2858922680</v>
      </c>
      <c r="C13" s="17" t="n">
        <v>0</v>
      </c>
      <c r="D13" s="17" t="n">
        <f aca="false">B13-C13</f>
        <v>2858922680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17730320</v>
      </c>
      <c r="C14" s="14" t="n">
        <f aca="false">SUM(C15,C16)</f>
        <v>552573</v>
      </c>
      <c r="D14" s="14" t="n">
        <f aca="false">SUM(D15,D16)</f>
        <v>17177747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239920</v>
      </c>
      <c r="C15" s="17" t="n">
        <v>5998</v>
      </c>
      <c r="D15" s="17" t="n">
        <v>233922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17490400</v>
      </c>
      <c r="C16" s="17" t="n">
        <v>546575</v>
      </c>
      <c r="D16" s="17" t="n">
        <v>16943825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5051790</v>
      </c>
      <c r="H17" s="11" t="n">
        <f aca="false">H18+H20+H24</f>
        <v>56131</v>
      </c>
      <c r="I17" s="11" t="n">
        <f aca="false">I18+I20+I24</f>
        <v>5107921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221940</v>
      </c>
      <c r="H18" s="14" t="n">
        <f aca="false">SUM(H19)</f>
        <v>2466</v>
      </c>
      <c r="I18" s="14" t="n">
        <f aca="false">SUM(I19)</f>
        <v>224406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221940</v>
      </c>
      <c r="H19" s="17" t="n">
        <v>2466</v>
      </c>
      <c r="I19" s="17" t="n">
        <f aca="false">G19+H19</f>
        <v>224406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4808250</v>
      </c>
      <c r="H20" s="14" t="n">
        <f aca="false">SUM(H21,H22,H23)</f>
        <v>53425</v>
      </c>
      <c r="I20" s="14" t="n">
        <f aca="false">SUM(I21,I22,I23)</f>
        <v>4861675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147960</v>
      </c>
      <c r="H21" s="17" t="n">
        <v>1644</v>
      </c>
      <c r="I21" s="17" t="n">
        <f aca="false">G21+H21</f>
        <v>149604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4438350</v>
      </c>
      <c r="H22" s="17" t="n">
        <v>49315</v>
      </c>
      <c r="I22" s="17" t="n">
        <f aca="false">G22+H22</f>
        <v>4487665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221940</v>
      </c>
      <c r="H23" s="17" t="n">
        <v>2466</v>
      </c>
      <c r="I23" s="17" t="n">
        <f aca="false">G23+H23</f>
        <v>224406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2932794982</v>
      </c>
      <c r="H26" s="11" t="n">
        <f aca="false">H27+H29</f>
        <v>0</v>
      </c>
      <c r="I26" s="11" t="n">
        <f aca="false">I27+I29</f>
        <v>2932794982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3096840054</v>
      </c>
      <c r="H27" s="14" t="n">
        <f aca="false">H28</f>
        <v>0</v>
      </c>
      <c r="I27" s="14" t="n">
        <f aca="false">I28</f>
        <v>3096840054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3096840054</v>
      </c>
      <c r="H28" s="17" t="n">
        <v>0</v>
      </c>
      <c r="I28" s="17" t="n">
        <f aca="false">G28+H28</f>
        <v>3096840054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-164045072</v>
      </c>
      <c r="H29" s="14" t="n">
        <f aca="false">H30</f>
        <v>0</v>
      </c>
      <c r="I29" s="14" t="n">
        <f aca="false">I30</f>
        <v>-164045072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-164045072</v>
      </c>
      <c r="H30" s="17" t="n">
        <v>0</v>
      </c>
      <c r="I30" s="17" t="n">
        <f aca="false">(B8+B31)-(I17+I28+I40)</f>
        <v>-164045072</v>
      </c>
    </row>
    <row r="31" customFormat="false" ht="15" hidden="false" customHeight="false" outlineLevel="0" collapsed="false">
      <c r="A31" s="10"/>
      <c r="B31" s="11" t="n">
        <f aca="false">B32+B34+B38</f>
        <v>5107921</v>
      </c>
      <c r="C31" s="11" t="n">
        <f aca="false">C32+C34+C38</f>
        <v>56131</v>
      </c>
      <c r="D31" s="11" t="n">
        <f aca="false">D32+D34+D38</f>
        <v>5051790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224406</v>
      </c>
      <c r="C32" s="14" t="n">
        <f aca="false">SUM(C33)</f>
        <v>2466</v>
      </c>
      <c r="D32" s="14" t="n">
        <f aca="false">SUM(D33)</f>
        <v>221940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224406</v>
      </c>
      <c r="C33" s="17" t="n">
        <v>2466</v>
      </c>
      <c r="D33" s="17" t="n">
        <v>221940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4861675</v>
      </c>
      <c r="C34" s="14" t="n">
        <f aca="false">SUM(C35,C36,C37)</f>
        <v>53425</v>
      </c>
      <c r="D34" s="14" t="n">
        <f aca="false">SUM(D35,D36,D37)</f>
        <v>4808250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149604</v>
      </c>
      <c r="C35" s="17" t="n">
        <v>1644</v>
      </c>
      <c r="D35" s="17" t="n">
        <v>147960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4487665</v>
      </c>
      <c r="C36" s="17" t="n">
        <v>49315</v>
      </c>
      <c r="D36" s="17" t="n">
        <v>4438350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224406</v>
      </c>
      <c r="C37" s="17" t="n">
        <v>2466</v>
      </c>
      <c r="D37" s="17" t="n">
        <v>221940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B41+B44</f>
        <v>0</v>
      </c>
      <c r="C40" s="11" t="n">
        <f aca="false">C41+C44</f>
        <v>0</v>
      </c>
      <c r="D40" s="11" t="n">
        <f aca="false">D41+D44</f>
        <v>0</v>
      </c>
      <c r="E40" s="12" t="s">
        <v>83</v>
      </c>
      <c r="F40" s="10" t="s">
        <v>84</v>
      </c>
      <c r="G40" s="11" t="n">
        <f aca="false">G41+G44</f>
        <v>66652445</v>
      </c>
      <c r="H40" s="11" t="n">
        <f aca="false">H41+H44</f>
        <v>552573</v>
      </c>
      <c r="I40" s="11" t="n">
        <f aca="false">I41+I44</f>
        <v>67205018</v>
      </c>
    </row>
    <row r="41" customFormat="false" ht="15" hidden="false" customHeight="false" outlineLevel="0" collapsed="false">
      <c r="A41" s="13"/>
      <c r="B41" s="14" t="n">
        <f aca="false">SUM(B42,B43)</f>
        <v>0</v>
      </c>
      <c r="C41" s="14" t="n">
        <f aca="false">SUM(C42,C43)</f>
        <v>0</v>
      </c>
      <c r="D41" s="14" t="n">
        <f aca="false">SUM(D42,D43)</f>
        <v>0</v>
      </c>
      <c r="E41" s="15" t="s">
        <v>85</v>
      </c>
      <c r="F41" s="13" t="s">
        <v>86</v>
      </c>
      <c r="G41" s="14" t="n">
        <f aca="false">SUM(G42,G43)</f>
        <v>49731570</v>
      </c>
      <c r="H41" s="14" t="n">
        <f aca="false">SUM(H42,H43)</f>
        <v>552573</v>
      </c>
      <c r="I41" s="14" t="n">
        <f aca="false">SUM(I42,I43)</f>
        <v>50284143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539820</v>
      </c>
      <c r="H42" s="17" t="n">
        <v>5998</v>
      </c>
      <c r="I42" s="17" t="n">
        <f aca="false">G42+H42</f>
        <v>545818</v>
      </c>
    </row>
    <row r="43" customFormat="false" ht="15" hidden="false" customHeight="false" outlineLevel="0" collapsed="false">
      <c r="A43" s="19"/>
      <c r="B43" s="17" t="n">
        <v>0</v>
      </c>
      <c r="C43" s="17" t="n">
        <v>0</v>
      </c>
      <c r="D43" s="17" t="n">
        <v>0</v>
      </c>
      <c r="E43" s="18" t="s">
        <v>89</v>
      </c>
      <c r="F43" s="19" t="s">
        <v>90</v>
      </c>
      <c r="G43" s="17" t="n">
        <v>49191750</v>
      </c>
      <c r="H43" s="17" t="n">
        <v>546575</v>
      </c>
      <c r="I43" s="17" t="n">
        <f aca="false">G43+H43</f>
        <v>49738325</v>
      </c>
    </row>
    <row r="44" customFormat="false" ht="15" hidden="false" customHeight="false" outlineLevel="0" collapsed="false">
      <c r="A44" s="13"/>
      <c r="B44" s="14" t="n">
        <f aca="false">SUM(B45)</f>
        <v>0</v>
      </c>
      <c r="C44" s="14" t="n">
        <f aca="false">SUM(C45)</f>
        <v>0</v>
      </c>
      <c r="D44" s="14" t="n">
        <f aca="false">SUM(D45)</f>
        <v>0</v>
      </c>
      <c r="E44" s="15" t="s">
        <v>91</v>
      </c>
      <c r="F44" s="13" t="s">
        <v>92</v>
      </c>
      <c r="G44" s="14" t="n">
        <f aca="false">SUM(G45)</f>
        <v>16920875</v>
      </c>
      <c r="H44" s="14" t="n">
        <f aca="false">SUM(H45)</f>
        <v>0</v>
      </c>
      <c r="I44" s="14" t="n">
        <f aca="false">SUM(I45)</f>
        <v>16920875</v>
      </c>
    </row>
    <row r="45" customFormat="false" ht="15" hidden="false" customHeight="false" outlineLevel="0" collapsed="false">
      <c r="A45" s="19"/>
      <c r="B45" s="17" t="n">
        <v>0</v>
      </c>
      <c r="C45" s="17" t="n">
        <v>0</v>
      </c>
      <c r="D45" s="17" t="n">
        <v>0</v>
      </c>
      <c r="E45" s="18" t="s">
        <v>93</v>
      </c>
      <c r="F45" s="19" t="s">
        <v>94</v>
      </c>
      <c r="G45" s="17" t="n">
        <v>16920875</v>
      </c>
      <c r="H45" s="17" t="n">
        <v>0</v>
      </c>
      <c r="I45" s="17" t="n">
        <f aca="false">G45+H45</f>
        <v>16920875</v>
      </c>
    </row>
    <row r="46" customFormat="false" ht="15" hidden="false" customHeight="false" outlineLevel="0" collapsed="false">
      <c r="A46" s="20"/>
      <c r="B46" s="21" t="n">
        <f aca="false">B8+B31</f>
        <v>3005107921</v>
      </c>
      <c r="C46" s="21" t="n">
        <f aca="false">C8+C31</f>
        <v>608704</v>
      </c>
      <c r="D46" s="21" t="n">
        <f aca="false">D8+D31</f>
        <v>3004499217</v>
      </c>
      <c r="E46" s="22" t="s">
        <v>95</v>
      </c>
      <c r="F46" s="23" t="s">
        <v>96</v>
      </c>
      <c r="G46" s="21" t="n">
        <f aca="false">G17+G26+G40</f>
        <v>3004499217</v>
      </c>
      <c r="H46" s="21" t="n">
        <f aca="false">H17+H26+H40</f>
        <v>608704</v>
      </c>
      <c r="I46" s="21" t="n">
        <f aca="false">I17+I26+I40</f>
        <v>3005107921</v>
      </c>
    </row>
    <row r="47" customFormat="false" ht="15" hidden="false" customHeight="false" outlineLevel="0" collapsed="false">
      <c r="F47" s="5" t="s">
        <v>97</v>
      </c>
      <c r="I47" s="6" t="n">
        <f aca="false">B46-I46</f>
        <v>0</v>
      </c>
    </row>
    <row r="49" customFormat="false" ht="15" hidden="false" customHeight="false" outlineLevel="0" collapsed="false">
      <c r="F49" s="5" t="s">
        <v>98</v>
      </c>
    </row>
    <row r="50" customFormat="false" ht="15" hidden="false" customHeight="false" outlineLevel="0" collapsed="false">
      <c r="A50" s="19"/>
      <c r="B50" s="17" t="n">
        <f aca="false">B8-I17</f>
        <v>2994892079</v>
      </c>
      <c r="C50" s="17" t="n">
        <f aca="false">B50-D50</f>
        <v>496442</v>
      </c>
      <c r="D50" s="17" t="n">
        <f aca="false">D8-G17</f>
        <v>2994395637</v>
      </c>
      <c r="E50" s="18" t="s">
        <v>99</v>
      </c>
      <c r="F50" s="19" t="s">
        <v>100</v>
      </c>
      <c r="G50" s="17" t="n">
        <v>0</v>
      </c>
      <c r="H50" s="17" t="n">
        <v>0</v>
      </c>
      <c r="I50" s="17" t="n">
        <v>0</v>
      </c>
    </row>
    <row r="51" customFormat="false" ht="15" hidden="false" customHeight="false" outlineLevel="0" collapsed="false">
      <c r="A51" s="13"/>
      <c r="B51" s="14" t="n">
        <f aca="false">B50</f>
        <v>2994892079</v>
      </c>
      <c r="C51" s="14" t="n">
        <f aca="false">B51-D51</f>
        <v>496442</v>
      </c>
      <c r="D51" s="14" t="n">
        <f aca="false">D50</f>
        <v>2994395637</v>
      </c>
      <c r="E51" s="15" t="s">
        <v>101</v>
      </c>
      <c r="F51" s="13" t="s">
        <v>102</v>
      </c>
      <c r="G51" s="14" t="n">
        <v>0</v>
      </c>
      <c r="H51" s="14" t="n">
        <v>0</v>
      </c>
      <c r="I51" s="14" t="n">
        <v>0</v>
      </c>
    </row>
    <row r="52" customFormat="false" ht="15" hidden="false" customHeight="false" outlineLevel="0" collapsed="false">
      <c r="A52" s="13"/>
      <c r="B52" s="14" t="n">
        <f aca="false">I28</f>
        <v>3096840054</v>
      </c>
      <c r="C52" s="14" t="n">
        <f aca="false">B52-D52</f>
        <v>0</v>
      </c>
      <c r="D52" s="14" t="n">
        <f aca="false">G28</f>
        <v>3096840054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24" t="n">
        <f aca="false">ROUND(B51/B52*1000,2)</f>
        <v>967.08</v>
      </c>
      <c r="C53" s="24" t="n">
        <f aca="false">B53-D53</f>
        <v>0.160000000000082</v>
      </c>
      <c r="D53" s="24" t="n">
        <f aca="false">ROUND(D51/D52*1000,2)</f>
        <v>966.92</v>
      </c>
      <c r="E53" s="15" t="s">
        <v>105</v>
      </c>
      <c r="F53" s="25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9"/>
      <c r="B54" s="26" t="n">
        <f aca="false">B53</f>
        <v>967.08</v>
      </c>
      <c r="C54" s="26" t="n">
        <f aca="false">B54-D54</f>
        <v>0.160000000000082</v>
      </c>
      <c r="D54" s="26" t="n">
        <f aca="false">D53</f>
        <v>966.92</v>
      </c>
      <c r="E54" s="18" t="s">
        <v>107</v>
      </c>
      <c r="F54" s="19" t="s">
        <v>108</v>
      </c>
      <c r="G54" s="17" t="n">
        <v>0</v>
      </c>
      <c r="H54" s="17" t="n">
        <v>0</v>
      </c>
      <c r="I54" s="17" t="n">
        <v>0</v>
      </c>
    </row>
    <row r="55" customFormat="false" ht="15" hidden="false" customHeight="false" outlineLevel="0" collapsed="false">
      <c r="A55" s="19"/>
      <c r="B55" s="17" t="n">
        <f aca="false">B8</f>
        <v>3000000000</v>
      </c>
      <c r="C55" s="17" t="n">
        <f aca="false">B55-D55</f>
        <v>552573</v>
      </c>
      <c r="D55" s="17" t="n">
        <f aca="false">D8</f>
        <v>2999447427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25"/>
      <c r="B56" s="14" t="n">
        <f aca="false">B8</f>
        <v>3000000000</v>
      </c>
      <c r="C56" s="14" t="n">
        <f aca="false">B56-D56</f>
        <v>552573</v>
      </c>
      <c r="D56" s="14" t="n">
        <f aca="false">D8</f>
        <v>2999447427</v>
      </c>
      <c r="E56" s="15" t="s">
        <v>111</v>
      </c>
      <c r="F56" s="25" t="s">
        <v>112</v>
      </c>
      <c r="G56" s="14" t="n">
        <v>0</v>
      </c>
      <c r="H56" s="14" t="n">
        <v>0</v>
      </c>
      <c r="I56" s="14" t="n">
        <v>0</v>
      </c>
    </row>
    <row r="57" customFormat="false" ht="15" hidden="false" customHeight="false" outlineLevel="0" collapsed="false">
      <c r="A57" s="19"/>
      <c r="B57" s="17" t="n">
        <f aca="false">I28</f>
        <v>3096840054</v>
      </c>
      <c r="C57" s="17" t="n">
        <f aca="false">B57-D57</f>
        <v>0</v>
      </c>
      <c r="D57" s="17" t="n">
        <f aca="false">G28</f>
        <v>3096840054</v>
      </c>
      <c r="E57" s="18" t="s">
        <v>113</v>
      </c>
      <c r="F57" s="19" t="s">
        <v>114</v>
      </c>
      <c r="G57" s="17" t="n">
        <v>0</v>
      </c>
      <c r="H57" s="17" t="n">
        <v>0</v>
      </c>
      <c r="I57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