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<sst xmlns="http://schemas.openxmlformats.org/spreadsheetml/2006/main" count="117" uniqueCount="117">
  <si>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</si>
  <si>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</si>
  <si>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하나대체투자전문투자형사모부동산투자신탁</t>
    </r>
    <r>
      <rPr>
        <sz val="10"/>
        <rFont val="맑은 고딕"/>
        <family val="0"/>
        <charset val="1"/>
      </rPr>
      <t xml:space="preserve">67-1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</si>
  <si>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</si>
  <si>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</si>
  <si>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</si>
  <si>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</si>
  <si>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</si>
  <si>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</si>
  <si>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</si>
  <si>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</si>
  <si>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</si>
  <si>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</si>
  <si>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</si>
  <si>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</si>
  <si>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</si>
  <si>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</si>
  <si>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</si>
  <si>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</si>
  <si>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</si>
  <si>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</si>
  <si>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</si>
  <si>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</si>
  <si>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</si>
  <si>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</si>
  <si>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</si>
  <si>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</si>
  <si>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1040000000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</si>
  <si>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지분증권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</si>
  <si>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1040300000</t>
  </si>
  <si>
    <t xml:space="preserve">해외지분증권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</si>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</sst>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5000000000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5000000000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5000000000</v>
      </c>
      <c r="C8" s="11" t="n">
        <f aca="false">C9+C12+C14</f>
        <v>10823</v>
      </c>
      <c r="D8" s="11" t="n">
        <f aca="false">D9+D12+D14</f>
        <v>4999989177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274939000</v>
      </c>
      <c r="C9" s="14" t="n">
        <f aca="false">SUM(C10,C11)</f>
        <v>0</v>
      </c>
      <c r="D9" s="14" t="n">
        <f aca="false">SUM(D10,D11)</f>
        <v>274939000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158011000</v>
      </c>
      <c r="C10" s="17" t="n">
        <v>0</v>
      </c>
      <c r="D10" s="17" t="n">
        <v>158011000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116928000</v>
      </c>
      <c r="C11" s="17" t="n">
        <v>0</v>
      </c>
      <c r="D11" s="17" t="n">
        <v>116928000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4688581310</v>
      </c>
      <c r="C12" s="14" t="n">
        <f aca="false">SUM(C13)</f>
        <v>0</v>
      </c>
      <c r="D12" s="14" t="n">
        <f aca="false">SUM(D13)</f>
        <v>4688581310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4688581310</v>
      </c>
      <c r="C13" s="17" t="n">
        <v>0</v>
      </c>
      <c r="D13" s="17" t="n">
        <f aca="false">B13-C13</f>
        <v>4688581310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36479690</v>
      </c>
      <c r="C14" s="14" t="n">
        <f aca="false">SUM(C15,C16)</f>
        <v>10823</v>
      </c>
      <c r="D14" s="14" t="n">
        <f aca="false">SUM(D15,D16)</f>
        <v>36468867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324690</v>
      </c>
      <c r="C15" s="17" t="n">
        <v>10823</v>
      </c>
      <c r="D15" s="17" t="n">
        <v>313867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36155000</v>
      </c>
      <c r="C16" s="17" t="n">
        <v>0</v>
      </c>
      <c r="D16" s="17" t="n">
        <v>36155000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7172370</v>
      </c>
      <c r="H17" s="11" t="n">
        <f aca="false">H18+H20+H24</f>
        <v>79693</v>
      </c>
      <c r="I17" s="11" t="n">
        <f aca="false">I18+I20+I24</f>
        <v>7252063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369900</v>
      </c>
      <c r="H18" s="14" t="n">
        <f aca="false">SUM(H19)</f>
        <v>4110</v>
      </c>
      <c r="I18" s="14" t="n">
        <f aca="false">SUM(I19)</f>
        <v>374010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369900</v>
      </c>
      <c r="H19" s="17" t="n">
        <v>4110</v>
      </c>
      <c r="I19" s="17" t="n">
        <f aca="false">G19+H19</f>
        <v>374010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6780870</v>
      </c>
      <c r="H20" s="14" t="n">
        <f aca="false">SUM(H21,H22,H23)</f>
        <v>75343</v>
      </c>
      <c r="I20" s="14" t="n">
        <f aca="false">SUM(I21,I22,I23)</f>
        <v>6856213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246600</v>
      </c>
      <c r="H21" s="17" t="n">
        <v>2740</v>
      </c>
      <c r="I21" s="17" t="n">
        <f aca="false">G21+H21</f>
        <v>249340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6164370</v>
      </c>
      <c r="H22" s="17" t="n">
        <v>68493</v>
      </c>
      <c r="I22" s="17" t="n">
        <f aca="false">G22+H22</f>
        <v>6232863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369900</v>
      </c>
      <c r="H23" s="17" t="n">
        <v>4110</v>
      </c>
      <c r="I23" s="17" t="n">
        <f aca="false">G23+H23</f>
        <v>374010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4943259194</v>
      </c>
      <c r="H26" s="11" t="n">
        <f aca="false">H27+H29</f>
        <v>0</v>
      </c>
      <c r="I26" s="11" t="n">
        <f aca="false">I27+I29</f>
        <v>4943259194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4898212437</v>
      </c>
      <c r="H27" s="14" t="n">
        <f aca="false">H28</f>
        <v>0</v>
      </c>
      <c r="I27" s="14" t="n">
        <f aca="false">I28</f>
        <v>4898212437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4898212437</v>
      </c>
      <c r="H28" s="17" t="n">
        <v>0</v>
      </c>
      <c r="I28" s="17" t="n">
        <f aca="false">G28+H28</f>
        <v>4898212437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45046757</v>
      </c>
      <c r="H29" s="14" t="n">
        <f aca="false">H30</f>
        <v>0</v>
      </c>
      <c r="I29" s="14" t="n">
        <f aca="false">I30</f>
        <v>45046757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45046757</v>
      </c>
      <c r="H30" s="17" t="n">
        <v>0</v>
      </c>
      <c r="I30" s="17" t="n">
        <f aca="false">(B8+B31)-(I17+I28+I40)</f>
        <v>45046757</v>
      </c>
    </row>
    <row r="31" customFormat="false" ht="15" hidden="false" customHeight="false" outlineLevel="0" collapsed="false">
      <c r="A31" s="10"/>
      <c r="B31" s="11" t="n">
        <f aca="false">B32+B34+B38</f>
        <v>7252063</v>
      </c>
      <c r="C31" s="11" t="n">
        <f aca="false">C32+C34+C38</f>
        <v>79693</v>
      </c>
      <c r="D31" s="11" t="n">
        <f aca="false">D32+D34+D38</f>
        <v>7172370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374010</v>
      </c>
      <c r="C32" s="14" t="n">
        <f aca="false">SUM(C33)</f>
        <v>4110</v>
      </c>
      <c r="D32" s="14" t="n">
        <f aca="false">SUM(D33)</f>
        <v>369900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374010</v>
      </c>
      <c r="C33" s="17" t="n">
        <v>4110</v>
      </c>
      <c r="D33" s="17" t="n">
        <v>369900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6856213</v>
      </c>
      <c r="C34" s="14" t="n">
        <f aca="false">SUM(C35,C36,C37)</f>
        <v>75343</v>
      </c>
      <c r="D34" s="14" t="n">
        <f aca="false">SUM(D35,D36,D37)</f>
        <v>6780870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249340</v>
      </c>
      <c r="C35" s="17" t="n">
        <v>2740</v>
      </c>
      <c r="D35" s="17" t="n">
        <v>246600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6232863</v>
      </c>
      <c r="C36" s="17" t="n">
        <v>68493</v>
      </c>
      <c r="D36" s="17" t="n">
        <v>6164370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374010</v>
      </c>
      <c r="C37" s="17" t="n">
        <v>4110</v>
      </c>
      <c r="D37" s="17" t="n">
        <v>369900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56729983</v>
      </c>
      <c r="H40" s="11" t="n">
        <f aca="false">H41+H43+H45</f>
        <v>10823</v>
      </c>
      <c r="I40" s="11" t="n">
        <f aca="false">I41+I43+I45</f>
        <v>56740806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974070</v>
      </c>
      <c r="H41" s="14" t="n">
        <f aca="false">SUM(H42)</f>
        <v>10823</v>
      </c>
      <c r="I41" s="14" t="n">
        <f aca="false">SUM(I42)</f>
        <v>984893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974070</v>
      </c>
      <c r="H42" s="17" t="n">
        <v>10823</v>
      </c>
      <c r="I42" s="17" t="n">
        <f aca="false">G42+H42</f>
        <v>984893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36155000</v>
      </c>
      <c r="H43" s="14" t="n">
        <f aca="false">SUM(H44)</f>
        <v>0</v>
      </c>
      <c r="I43" s="14" t="n">
        <f aca="false">SUM(I44)</f>
        <v>36155000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36155000</v>
      </c>
      <c r="H44" s="17" t="n">
        <v>0</v>
      </c>
      <c r="I44" s="17" t="n">
        <f aca="false">G44+H44</f>
        <v>36155000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19600913</v>
      </c>
      <c r="H45" s="14" t="n">
        <f aca="false">SUM(H46)</f>
        <v>0</v>
      </c>
      <c r="I45" s="14" t="n">
        <f aca="false">SUM(I46)</f>
        <v>19600913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19600913</v>
      </c>
      <c r="H46" s="17" t="n">
        <v>0</v>
      </c>
      <c r="I46" s="17" t="n">
        <f aca="false">G46+H46</f>
        <v>19600913</v>
      </c>
    </row>
    <row r="47" customFormat="false" ht="15" hidden="false" customHeight="false" outlineLevel="0" collapsed="false">
      <c r="A47" s="20"/>
      <c r="B47" s="21" t="n">
        <f aca="false">B8+B31</f>
        <v>5007252063</v>
      </c>
      <c r="C47" s="21" t="n">
        <f aca="false">C8+C31</f>
        <v>90516</v>
      </c>
      <c r="D47" s="21" t="n">
        <f aca="false">D8+D31</f>
        <v>5007161547</v>
      </c>
      <c r="E47" s="22" t="s">
        <v>97</v>
      </c>
      <c r="F47" s="23" t="s">
        <v>98</v>
      </c>
      <c r="G47" s="21" t="n">
        <f aca="false">G17+G26+G40</f>
        <v>5007161547</v>
      </c>
      <c r="H47" s="21" t="n">
        <f aca="false">H17+H26+H40</f>
        <v>90516</v>
      </c>
      <c r="I47" s="21" t="n">
        <f aca="false">I17+I26+I40</f>
        <v>5007252063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4992747937</v>
      </c>
      <c r="C51" s="17" t="n">
        <f aca="false">B51-D51</f>
        <v>-68870</v>
      </c>
      <c r="D51" s="17" t="n">
        <f aca="false">D8-G17</f>
        <v>4992816807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4992747937</v>
      </c>
      <c r="C52" s="14" t="n">
        <f aca="false">B52-D52</f>
        <v>-68870</v>
      </c>
      <c r="D52" s="14" t="n">
        <f aca="false">D51</f>
        <v>4992816807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4898212437</v>
      </c>
      <c r="C53" s="14" t="n">
        <f aca="false">B53-D53</f>
        <v>0</v>
      </c>
      <c r="D53" s="14" t="n">
        <f aca="false">G28</f>
        <v>4898212437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1019.3</v>
      </c>
      <c r="C54" s="24" t="n">
        <f aca="false">B54-D54</f>
        <v>-0.00999999999999091</v>
      </c>
      <c r="D54" s="24" t="n">
        <f aca="false">ROUND(D52/D53*1000,2)</f>
        <v>1019.31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1019.3</v>
      </c>
      <c r="C55" s="26" t="n">
        <f aca="false">B55-D55</f>
        <v>-0.00999999999999091</v>
      </c>
      <c r="D55" s="26" t="n">
        <f aca="false">D54</f>
        <v>1019.31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5000000000</v>
      </c>
      <c r="C56" s="17" t="n">
        <f aca="false">B56-D56</f>
        <v>10823</v>
      </c>
      <c r="D56" s="17" t="n">
        <f aca="false">D8</f>
        <v>4999989177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5000000000</v>
      </c>
      <c r="C57" s="14" t="n">
        <f aca="false">B57-D57</f>
        <v>10823</v>
      </c>
      <c r="D57" s="14" t="n">
        <f aca="false">D8</f>
        <v>4999989177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4898212437</v>
      </c>
      <c r="C58" s="17" t="n">
        <f aca="false">B58-D58</f>
        <v>0</v>
      </c>
      <c r="D58" s="17" t="n">
        <f aca="false">G28</f>
        <v>4898212437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